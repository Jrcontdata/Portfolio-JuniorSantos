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rcon\Downloads\"/>
    </mc:Choice>
  </mc:AlternateContent>
  <xr:revisionPtr revIDLastSave="0" documentId="13_ncr:1_{920F47D6-77B0-4F3B-BC44-9899E92DD056}" xr6:coauthVersionLast="47" xr6:coauthVersionMax="47" xr10:uidLastSave="{00000000-0000-0000-0000-000000000000}"/>
  <bookViews>
    <workbookView xWindow="-120" yWindow="-120" windowWidth="20730" windowHeight="11160" tabRatio="500" xr2:uid="{00000000-000D-0000-FFFF-FFFF00000000}"/>
  </bookViews>
  <sheets>
    <sheet name="Painel" sheetId="1" r:id="rId1"/>
    <sheet name="Leia-me" sheetId="2" r:id="rId2"/>
    <sheet name="Passo a passo"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3" l="1"/>
  <c r="C7" i="3"/>
  <c r="C6" i="3"/>
  <c r="I23" i="1"/>
  <c r="J23" i="1" s="1"/>
  <c r="L23" i="1" s="1"/>
  <c r="H23" i="1"/>
  <c r="K23" i="1" s="1"/>
  <c r="L22" i="1"/>
  <c r="J22" i="1"/>
  <c r="I22" i="1"/>
  <c r="H22" i="1"/>
  <c r="K22" i="1" s="1"/>
  <c r="I21" i="1"/>
  <c r="J21" i="1" s="1"/>
  <c r="L21" i="1" s="1"/>
  <c r="H21" i="1"/>
  <c r="K21" i="1" s="1"/>
  <c r="J20" i="1"/>
  <c r="L20" i="1" s="1"/>
  <c r="I20" i="1"/>
  <c r="H20" i="1"/>
  <c r="K20" i="1" s="1"/>
  <c r="K19" i="1"/>
  <c r="I19" i="1"/>
  <c r="J19" i="1" s="1"/>
  <c r="L19" i="1" s="1"/>
  <c r="H19" i="1"/>
  <c r="I18" i="1"/>
  <c r="J18" i="1" s="1"/>
  <c r="L18" i="1" s="1"/>
  <c r="H18" i="1"/>
  <c r="K18" i="1" s="1"/>
  <c r="K17" i="1"/>
  <c r="I17" i="1"/>
  <c r="J17" i="1" s="1"/>
  <c r="H17" i="1"/>
  <c r="J16" i="1"/>
  <c r="L16" i="1" s="1"/>
  <c r="I16" i="1"/>
  <c r="H16" i="1"/>
  <c r="K16" i="1" s="1"/>
  <c r="K15" i="1"/>
  <c r="J15" i="1"/>
  <c r="L15" i="1" s="1"/>
  <c r="I15" i="1"/>
  <c r="H15" i="1"/>
  <c r="L14" i="1"/>
  <c r="D10" i="3" s="1"/>
  <c r="J14" i="1"/>
  <c r="D8" i="3" s="1"/>
  <c r="I14" i="1"/>
  <c r="C8" i="3" s="1"/>
  <c r="H14" i="1"/>
  <c r="D6" i="3" s="1"/>
  <c r="L17" i="1" l="1"/>
  <c r="B11" i="1"/>
  <c r="B10" i="1"/>
  <c r="B9" i="1"/>
  <c r="D7" i="3"/>
  <c r="C9" i="3"/>
  <c r="K14" i="1"/>
  <c r="D9" i="3" s="1"/>
</calcChain>
</file>

<file path=xl/sharedStrings.xml><?xml version="1.0" encoding="utf-8"?>
<sst xmlns="http://schemas.openxmlformats.org/spreadsheetml/2006/main" count="98" uniqueCount="83">
  <si>
    <t>Painel de cobertura e ponto de pedido</t>
  </si>
  <si>
    <t>Premissas</t>
  </si>
  <si>
    <t>Margem de atenção (1,2 = 20%)</t>
  </si>
  <si>
    <t>Cobertura desejada (dias)</t>
  </si>
  <si>
    <t>Pedir agora</t>
  </si>
  <si>
    <t>Atenção</t>
  </si>
  <si>
    <t>OK</t>
  </si>
  <si>
    <t>Material (fictício)</t>
  </si>
  <si>
    <t>Tipo</t>
  </si>
  <si>
    <t>Estoque disponível</t>
  </si>
  <si>
    <t>Unid.</t>
  </si>
  <si>
    <t>Consumo por dia</t>
  </si>
  <si>
    <t>Lead time (dias)</t>
  </si>
  <si>
    <t>Estoque de segurança</t>
  </si>
  <si>
    <t>Cobertura (dias)</t>
  </si>
  <si>
    <t>Ponto de pedido</t>
  </si>
  <si>
    <t>Situação</t>
  </si>
  <si>
    <t>Folga (dias)</t>
  </si>
  <si>
    <t>Quantidade sugerida a pedir</t>
  </si>
  <si>
    <t>Princípio ativo Alfa</t>
  </si>
  <si>
    <t>Princípio ativo</t>
  </si>
  <si>
    <t>kg</t>
  </si>
  <si>
    <t>Princípio ativo Beta</t>
  </si>
  <si>
    <t>Filme blister</t>
  </si>
  <si>
    <t>Embalagem</t>
  </si>
  <si>
    <t>Excipiente celulose</t>
  </si>
  <si>
    <t>Excipiente</t>
  </si>
  <si>
    <t>Cartonagem Alfa</t>
  </si>
  <si>
    <t>un</t>
  </si>
  <si>
    <t>Corante</t>
  </si>
  <si>
    <t>Excipiente amido</t>
  </si>
  <si>
    <t>Cartonagem Beta</t>
  </si>
  <si>
    <t>Bula Alfa</t>
  </si>
  <si>
    <t>Caixa de embarque</t>
  </si>
  <si>
    <t>1. Todos os dados de estoque, consumo, lead time e segurança são inventados para estudo (texto azul).</t>
  </si>
  <si>
    <t>2. Quantidade sugerida = consumo × (lead time + cobertura desejada) + segurança − estoque. Só é calculada para 'Pedir agora'.</t>
  </si>
  <si>
    <t>3. A margem de atenção (1,2) e a cobertura desejada (30 dias) são premissas deste painel. Altere-as e veja a situação mudar.</t>
  </si>
  <si>
    <t>4. Não considera pedidos em aberto, material em trânsito, quarentena, perdas nem lote mínimo de compra.</t>
  </si>
  <si>
    <t>Leitura do gráfico: onde a barra azul (cobertura) fica abaixo da laranja (lead time), o material acaba antes de a reposição chegar.</t>
  </si>
  <si>
    <t>5. As linhas estão ordenadas por situação (pedir, atenção, OK) para os dados atuais. Se você alterar os dados, a ordem não se refaz sozinha.</t>
  </si>
  <si>
    <t>Painel de cobertura e ponto de pedido de materiais</t>
  </si>
  <si>
    <t>Projeto de estudo em planejamento de materiais (PCP), com dados totalmente fictícios</t>
  </si>
  <si>
    <t>Pergunta que o painel responde</t>
  </si>
  <si>
    <t>Quais materiais correm risco de faltar antes de a reposição chegar, e quanto pedir agora?</t>
  </si>
  <si>
    <t>Dados</t>
  </si>
  <si>
    <t>Fictícios. Nenhum valor, código, nome de material ou fornecedor vem de empresa real. Os nomes dos campos seguem os conceitos usados no planejamento de materiais do SAP (estoque, ponto de reabastecimento, estoque de segurança, prazo de entrega).</t>
  </si>
  <si>
    <t>Como usar</t>
  </si>
  <si>
    <t>Abra a aba Painel. Os números em azul são dados que você pode alterar; o restante é calculado por fórmulas e muda sozinho. A aba Passo a passo explica as contas com a primeira linha do painel.</t>
  </si>
  <si>
    <t>Conceito 1: Cobertura</t>
  </si>
  <si>
    <t>Por quantos dias o estoque dura no ritmo atual. Cobertura = estoque disponível ÷ consumo por dia.</t>
  </si>
  <si>
    <t>Conceito 2: Ponto de pedido</t>
  </si>
  <si>
    <t>Nível de estoque em que o pedido deve ser feito. Ponto de pedido = consumo por dia × lead time + estoque de segurança. Abaixo dele, a reposição já está atrasada.</t>
  </si>
  <si>
    <t>Conceito 3: Situação</t>
  </si>
  <si>
    <t>Pedir agora: estoque abaixo do ponto de pedido. Atenção: estoque acima do ponto, mas até a margem de atenção (padrão: 20% acima). OK: estoque confortável.</t>
  </si>
  <si>
    <t>Folga</t>
  </si>
  <si>
    <t>Cobertura − lead time. Negativa significa que o material acaba antes de a reposição chegar.</t>
  </si>
  <si>
    <t>Limitações (de propósito)</t>
  </si>
  <si>
    <t>O painel ignora pedidos já em aberto e material em trânsito, perdas de processo, lote mínimo de compra, sazonalidade e materiais em quarentena. Na prática, o analista confere essas informações antes de pedir.</t>
  </si>
  <si>
    <t>Legenda de cores</t>
  </si>
  <si>
    <t>Texto azul: dado de entrada que pode ser alterado. Texto preto: fórmula. Células com fundo creme: premissas do painel.</t>
  </si>
  <si>
    <t>Passo a passo: como cada número do painel é calculado</t>
  </si>
  <si>
    <t>Exemplo com a primeira linha do painel (Princípio ativo Alfa, fictício). Se você trocar os dados dessa linha, tudo aqui se atualiza.</t>
  </si>
  <si>
    <t>Passo</t>
  </si>
  <si>
    <t>Conta</t>
  </si>
  <si>
    <t>Resultado</t>
  </si>
  <si>
    <t>O que significa</t>
  </si>
  <si>
    <t>1. Cobertura</t>
  </si>
  <si>
    <t>Por quantos dias o estoque dura se o consumo continuar no ritmo atual.</t>
  </si>
  <si>
    <t>2. Ponto de pedido</t>
  </si>
  <si>
    <t>Estoque em que o pedido já deveria ter saído: o que se consome durante a espera do fornecedor, mais a folga de segurança.</t>
  </si>
  <si>
    <t>3. Situação</t>
  </si>
  <si>
    <t>Compara o estoque com o ponto de pedido. Abaixo dele, é 'Pedir agora'.</t>
  </si>
  <si>
    <t>4. Folga</t>
  </si>
  <si>
    <t>Cobertura menos lead time. Negativa: o material acaba antes de a reposição chegar.</t>
  </si>
  <si>
    <t>5. Quantidade sugerida</t>
  </si>
  <si>
    <t>Quanto pedir para cobrir a espera, mais os dias de cobertura desejados depois da chegada, mais a segurança, descontando o que já existe.</t>
  </si>
  <si>
    <t>1. Pegue o Filme blister (linha 16 do Painel) e refaça à mão cobertura, ponto de pedido e situação. Confira com a planilha.</t>
  </si>
  <si>
    <t>2. Por que o Filme blister aparece como 'Pedir agora' se a cobertura (26,7 dias) é maior que o lead time (25 dias)? Dica: olhe o estoque de segurança.</t>
  </si>
  <si>
    <t>3. Mude a margem de atenção de 1,2 para 1,5 e observe quais materiais mudam de OK para Atenção.</t>
  </si>
  <si>
    <t>4. Duplique o lead time do Princípio ativo Beta e veja como o ponto de pedido e a folga reagem.</t>
  </si>
  <si>
    <t>Resumo de situação</t>
  </si>
  <si>
    <t>Notas</t>
  </si>
  <si>
    <t>Prática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</si>
</sst>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6"/>
      <name val="Arial"/>
      <charset val="1"/>
    </font>
    <font>
      <i/>
      <sz val="10"/>
      <color rgb="FF555555"/>
      <name val="Arial"/>
      <charset val="1"/>
    </font>
    <font>
      <b/>
      <sz val="12"/>
      <name val="Arial"/>
      <charset val="1"/>
    </font>
    <font>
      <sz val="10"/>
      <name val="Arial"/>
      <charset val="1"/>
    </font>
    <font>
      <sz val="10"/>
      <color rgb="FF0000FF"/>
      <name val="Arial"/>
      <charset val="1"/>
    </font>
    <font>
      <b/>
      <sz val="10"/>
      <color rgb="FFFFFFFF"/>
      <name val="Arial"/>
      <charset val="1"/>
    </font>
    <font>
      <b/>
      <sz val="10"/>
      <name val="Arial"/>
      <charset val="1"/>
    </font>
  </fonts>
  <fills count="4">
    <fill>
      <patternFill patternType="none"/>
    </fill>
    <fill>
      <patternFill patternType="gray125"/>
    </fill>
    <fill>
      <patternFill patternType="solid">
        <fgColor rgb="FFFFF9D6"/>
        <bgColor rgb="FFFFFFFF"/>
      </patternFill>
    </fill>
    <fill>
      <patternFill patternType="solid">
        <fgColor rgb="FF2F4858"/>
        <bgColor rgb="FF55555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2" fontId="5" fillId="2" borderId="1" xfId="0" applyNumberFormat="1" applyFont="1" applyFill="1" applyBorder="1" applyAlignment="1">
      <alignment horizontal="center"/>
    </xf>
    <xf numFmtId="1" fontId="5" fillId="2" borderId="1" xfId="0" applyNumberFormat="1" applyFont="1" applyFill="1" applyBorder="1" applyAlignment="1">
      <alignment horizontal="center"/>
    </xf>
    <xf numFmtId="0" fontId="4" fillId="0" borderId="0" xfId="0" applyFont="1" applyAlignment="1">
      <alignment horizontal="center"/>
    </xf>
    <xf numFmtId="0" fontId="6" fillId="3" borderId="1" xfId="0" applyFont="1" applyFill="1" applyBorder="1" applyAlignment="1">
      <alignment horizontal="center" vertical="center" wrapText="1"/>
    </xf>
    <xf numFmtId="0" fontId="5" fillId="0" borderId="1" xfId="0" applyFont="1" applyBorder="1"/>
    <xf numFmtId="3" fontId="5" fillId="0" borderId="1" xfId="0" applyNumberFormat="1" applyFont="1" applyBorder="1"/>
    <xf numFmtId="0" fontId="5" fillId="0" borderId="1" xfId="0" applyFont="1" applyBorder="1" applyAlignment="1">
      <alignment horizontal="center"/>
    </xf>
    <xf numFmtId="164" fontId="4" fillId="0" borderId="1" xfId="0" applyNumberFormat="1" applyFont="1" applyBorder="1"/>
    <xf numFmtId="3" fontId="4" fillId="0" borderId="1" xfId="0" applyNumberFormat="1" applyFont="1" applyBorder="1"/>
    <xf numFmtId="0" fontId="4" fillId="0" borderId="1" xfId="0" applyFont="1" applyBorder="1" applyAlignment="1">
      <alignment horizontal="center"/>
    </xf>
    <xf numFmtId="0" fontId="7" fillId="0" borderId="0" xfId="0" applyFont="1" applyAlignment="1">
      <alignment vertical="top" wrapText="1"/>
    </xf>
    <xf numFmtId="0" fontId="4" fillId="0" borderId="0" xfId="0" applyFont="1" applyAlignment="1">
      <alignment vertical="top" wrapText="1"/>
    </xf>
    <xf numFmtId="0" fontId="7" fillId="0" borderId="1" xfId="0" applyFont="1" applyBorder="1" applyAlignment="1">
      <alignment vertical="top" wrapText="1"/>
    </xf>
    <xf numFmtId="0" fontId="4" fillId="0" borderId="1" xfId="0" applyFont="1" applyBorder="1" applyAlignment="1">
      <alignment vertical="top" wrapText="1"/>
    </xf>
    <xf numFmtId="164" fontId="7" fillId="0" borderId="1" xfId="0" applyNumberFormat="1" applyFont="1" applyBorder="1" applyAlignment="1">
      <alignment horizontal="center" vertical="top"/>
    </xf>
    <xf numFmtId="3" fontId="7" fillId="0" borderId="1" xfId="0" applyNumberFormat="1" applyFont="1" applyBorder="1" applyAlignment="1">
      <alignment horizontal="center" vertical="top"/>
    </xf>
    <xf numFmtId="0" fontId="7" fillId="0" borderId="1" xfId="0" applyFont="1" applyBorder="1" applyAlignment="1">
      <alignment horizontal="center" vertical="top"/>
    </xf>
    <xf numFmtId="0" fontId="1" fillId="0" borderId="0" xfId="0" applyFont="1" applyAlignment="1">
      <alignment horizontal="center"/>
    </xf>
  </cellXfs>
  <cellStyles count="1">
    <cellStyle name="Normal" xfId="0" builtinId="0"/>
  </cellStyles>
  <dxfs count="4">
    <dxf>
      <font>
        <b/>
        <color rgb="FFC00000"/>
        <name val="Arial"/>
        <charset val="1"/>
      </font>
    </dxf>
    <dxf>
      <font>
        <b/>
        <color rgb="FF1E5E1E"/>
        <name val="Arial"/>
        <charset val="1"/>
      </font>
      <fill>
        <patternFill>
          <bgColor rgb="FFC9E7C9"/>
        </patternFill>
      </fill>
    </dxf>
    <dxf>
      <font>
        <b/>
        <color rgb="FF7A5B00"/>
        <name val="Arial"/>
        <charset val="1"/>
      </font>
      <fill>
        <patternFill>
          <bgColor rgb="FFFCE8A6"/>
        </patternFill>
      </fill>
    </dxf>
    <dxf>
      <font>
        <b/>
        <color rgb="FF8B0000"/>
        <name val="Arial"/>
        <charset val="1"/>
      </font>
      <fill>
        <patternFill>
          <bgColor rgb="FFF4B6B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1E5E1E"/>
      <rgbColor rgb="FF000080"/>
      <rgbColor rgb="FF7A5B00"/>
      <rgbColor rgb="FF800080"/>
      <rgbColor rgb="FF008080"/>
      <rgbColor rgb="FFBBBBBB"/>
      <rgbColor rgb="FF878787"/>
      <rgbColor rgb="FF9999FF"/>
      <rgbColor rgb="FF993366"/>
      <rgbColor rgb="FFFFF9D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9E7C9"/>
      <rgbColor rgb="FFFCE8A6"/>
      <rgbColor rgb="FF99CCFF"/>
      <rgbColor rgb="FFFF99CC"/>
      <rgbColor rgb="FFCC99FF"/>
      <rgbColor rgb="FFF4B6B6"/>
      <rgbColor rgb="FF2F6EBA"/>
      <rgbColor rgb="FF33CCCC"/>
      <rgbColor rgb="FF99CC00"/>
      <rgbColor rgb="FFFFCC00"/>
      <rgbColor rgb="FFE8913A"/>
      <rgbColor rgb="FFFF6600"/>
      <rgbColor rgb="FF555555"/>
      <rgbColor rgb="FF969696"/>
      <rgbColor rgb="FF003366"/>
      <rgbColor rgb="FF339966"/>
      <rgbColor rgb="FF003300"/>
      <rgbColor rgb="FF333300"/>
      <rgbColor rgb="FF993300"/>
      <rgbColor rgb="FF993366"/>
      <rgbColor rgb="FF333399"/>
      <rgbColor rgb="FF2F485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lang="pt-BR" sz="1800" b="1" strike="noStrike" spc="-1">
                <a:solidFill>
                  <a:srgbClr val="000000"/>
                </a:solidFill>
                <a:latin typeface="Calibri"/>
              </a:rPr>
              <a:t>Cobertura x lead time (dias)</a:t>
            </a:r>
          </a:p>
        </c:rich>
      </c:tx>
      <c:overlay val="0"/>
      <c:spPr>
        <a:noFill/>
        <a:ln w="0">
          <a:noFill/>
        </a:ln>
      </c:spPr>
    </c:title>
    <c:autoTitleDeleted val="0"/>
    <c:plotArea>
      <c:layout/>
      <c:barChart>
        <c:barDir val="col"/>
        <c:grouping val="clustered"/>
        <c:varyColors val="0"/>
        <c:ser>
          <c:idx val="0"/>
          <c:order val="0"/>
          <c:tx>
            <c:strRef>
              <c:f>Painel!$H$13</c:f>
              <c:strCache>
                <c:ptCount val="1"/>
                <c:pt idx="0">
                  <c:v>Cobertura (dias)</c:v>
                </c:pt>
              </c:strCache>
            </c:strRef>
          </c:tx>
          <c:spPr>
            <a:solidFill>
              <a:srgbClr val="2F6EBA"/>
            </a:solidFill>
            <a:ln w="0">
              <a:noFill/>
            </a:ln>
          </c:spPr>
          <c:invertIfNegative val="0"/>
          <c:dLbls>
            <c:spPr>
              <a:noFill/>
              <a:ln>
                <a:noFill/>
              </a:ln>
              <a:effectLst/>
            </c:spPr>
            <c:txPr>
              <a:bodyPr wrap="none"/>
              <a:lstStyle/>
              <a:p>
                <a:pPr>
                  <a:defRPr sz="1000" b="0" strike="noStrike" spc="-1">
                    <a:latin typeface="Arial"/>
                  </a:defRPr>
                </a:pPr>
                <a:endParaRPr lang="pt-B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Painel!$A$14:$A$23</c:f>
              <c:strCache>
                <c:ptCount val="10"/>
                <c:pt idx="0">
                  <c:v>Princípio ativo Alfa</c:v>
                </c:pt>
                <c:pt idx="1">
                  <c:v>Princípio ativo Beta</c:v>
                </c:pt>
                <c:pt idx="2">
                  <c:v>Filme blister</c:v>
                </c:pt>
                <c:pt idx="3">
                  <c:v>Excipiente celulose</c:v>
                </c:pt>
                <c:pt idx="4">
                  <c:v>Cartonagem Alfa</c:v>
                </c:pt>
                <c:pt idx="5">
                  <c:v>Corante</c:v>
                </c:pt>
                <c:pt idx="6">
                  <c:v>Excipiente amido</c:v>
                </c:pt>
                <c:pt idx="7">
                  <c:v>Cartonagem Beta</c:v>
                </c:pt>
                <c:pt idx="8">
                  <c:v>Bula Alfa</c:v>
                </c:pt>
                <c:pt idx="9">
                  <c:v>Caixa de embarque</c:v>
                </c:pt>
              </c:strCache>
            </c:strRef>
          </c:cat>
          <c:val>
            <c:numRef>
              <c:f>Painel!$H$14:$H$23</c:f>
              <c:numCache>
                <c:formatCode>0.0</c:formatCode>
                <c:ptCount val="10"/>
                <c:pt idx="0">
                  <c:v>16</c:v>
                </c:pt>
                <c:pt idx="1">
                  <c:v>15</c:v>
                </c:pt>
                <c:pt idx="2">
                  <c:v>26.666666666666668</c:v>
                </c:pt>
                <c:pt idx="3">
                  <c:v>20</c:v>
                </c:pt>
                <c:pt idx="4">
                  <c:v>16</c:v>
                </c:pt>
                <c:pt idx="5">
                  <c:v>38</c:v>
                </c:pt>
                <c:pt idx="6">
                  <c:v>43.75</c:v>
                </c:pt>
                <c:pt idx="7">
                  <c:v>40</c:v>
                </c:pt>
                <c:pt idx="8">
                  <c:v>30</c:v>
                </c:pt>
                <c:pt idx="9">
                  <c:v>22.5</c:v>
                </c:pt>
              </c:numCache>
            </c:numRef>
          </c:val>
          <c:extLst>
            <c:ext xmlns:c16="http://schemas.microsoft.com/office/drawing/2014/chart" uri="{C3380CC4-5D6E-409C-BE32-E72D297353CC}">
              <c16:uniqueId val="{00000000-1082-449B-94AC-9F8666D831EE}"/>
            </c:ext>
          </c:extLst>
        </c:ser>
        <c:ser>
          <c:idx val="1"/>
          <c:order val="1"/>
          <c:tx>
            <c:strRef>
              <c:f>Painel!$F$13</c:f>
              <c:strCache>
                <c:ptCount val="1"/>
                <c:pt idx="0">
                  <c:v>Lead time (dias)</c:v>
                </c:pt>
              </c:strCache>
            </c:strRef>
          </c:tx>
          <c:spPr>
            <a:solidFill>
              <a:srgbClr val="E8913A"/>
            </a:solidFill>
            <a:ln w="0">
              <a:noFill/>
            </a:ln>
          </c:spPr>
          <c:invertIfNegative val="0"/>
          <c:dLbls>
            <c:spPr>
              <a:noFill/>
              <a:ln>
                <a:noFill/>
              </a:ln>
              <a:effectLst/>
            </c:spPr>
            <c:txPr>
              <a:bodyPr wrap="none"/>
              <a:lstStyle/>
              <a:p>
                <a:pPr>
                  <a:defRPr sz="1000" b="0" strike="noStrike" spc="-1">
                    <a:latin typeface="Arial"/>
                  </a:defRPr>
                </a:pPr>
                <a:endParaRPr lang="pt-B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Painel!$A$14:$A$23</c:f>
              <c:strCache>
                <c:ptCount val="10"/>
                <c:pt idx="0">
                  <c:v>Princípio ativo Alfa</c:v>
                </c:pt>
                <c:pt idx="1">
                  <c:v>Princípio ativo Beta</c:v>
                </c:pt>
                <c:pt idx="2">
                  <c:v>Filme blister</c:v>
                </c:pt>
                <c:pt idx="3">
                  <c:v>Excipiente celulose</c:v>
                </c:pt>
                <c:pt idx="4">
                  <c:v>Cartonagem Alfa</c:v>
                </c:pt>
                <c:pt idx="5">
                  <c:v>Corante</c:v>
                </c:pt>
                <c:pt idx="6">
                  <c:v>Excipiente amido</c:v>
                </c:pt>
                <c:pt idx="7">
                  <c:v>Cartonagem Beta</c:v>
                </c:pt>
                <c:pt idx="8">
                  <c:v>Bula Alfa</c:v>
                </c:pt>
                <c:pt idx="9">
                  <c:v>Caixa de embarque</c:v>
                </c:pt>
              </c:strCache>
            </c:strRef>
          </c:cat>
          <c:val>
            <c:numRef>
              <c:f>Painel!$F$14:$F$23</c:f>
              <c:numCache>
                <c:formatCode>General</c:formatCode>
                <c:ptCount val="10"/>
                <c:pt idx="0">
                  <c:v>30</c:v>
                </c:pt>
                <c:pt idx="1">
                  <c:v>20</c:v>
                </c:pt>
                <c:pt idx="2">
                  <c:v>25</c:v>
                </c:pt>
                <c:pt idx="3">
                  <c:v>15</c:v>
                </c:pt>
                <c:pt idx="4">
                  <c:v>15</c:v>
                </c:pt>
                <c:pt idx="5">
                  <c:v>30</c:v>
                </c:pt>
                <c:pt idx="6">
                  <c:v>10</c:v>
                </c:pt>
                <c:pt idx="7">
                  <c:v>15</c:v>
                </c:pt>
                <c:pt idx="8">
                  <c:v>20</c:v>
                </c:pt>
                <c:pt idx="9">
                  <c:v>10</c:v>
                </c:pt>
              </c:numCache>
            </c:numRef>
          </c:val>
          <c:extLst>
            <c:ext xmlns:c16="http://schemas.microsoft.com/office/drawing/2014/chart" uri="{C3380CC4-5D6E-409C-BE32-E72D297353CC}">
              <c16:uniqueId val="{00000001-1082-449B-94AC-9F8666D831EE}"/>
            </c:ext>
          </c:extLst>
        </c:ser>
        <c:dLbls>
          <c:showLegendKey val="0"/>
          <c:showVal val="0"/>
          <c:showCatName val="0"/>
          <c:showSerName val="0"/>
          <c:showPercent val="0"/>
          <c:showBubbleSize val="0"/>
        </c:dLbls>
        <c:gapWidth val="150"/>
        <c:axId val="81787185"/>
        <c:axId val="74862451"/>
      </c:barChart>
      <c:catAx>
        <c:axId val="817871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74862451"/>
        <c:crosses val="autoZero"/>
        <c:auto val="1"/>
        <c:lblAlgn val="ctr"/>
        <c:lblOffset val="100"/>
        <c:noMultiLvlLbl val="0"/>
      </c:catAx>
      <c:valAx>
        <c:axId val="7486245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pt-BR" sz="1000" b="1" strike="noStrike" spc="-1">
                    <a:solidFill>
                      <a:srgbClr val="000000"/>
                    </a:solidFill>
                    <a:latin typeface="Calibri"/>
                  </a:rPr>
                  <a:t>Dias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8178718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pt-BR"/>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lang="pt-BR" sz="1800" b="1" strike="noStrike" spc="-1">
                <a:solidFill>
                  <a:srgbClr val="000000"/>
                </a:solidFill>
                <a:latin typeface="Calibri"/>
              </a:rPr>
              <a:t>Cobertura x lead time (dias)</a:t>
            </a:r>
          </a:p>
        </c:rich>
      </c:tx>
      <c:overlay val="0"/>
      <c:spPr>
        <a:noFill/>
        <a:ln w="0">
          <a:noFill/>
        </a:ln>
      </c:spPr>
    </c:title>
    <c:autoTitleDeleted val="0"/>
    <c:plotArea>
      <c:layout/>
      <c:barChart>
        <c:barDir val="col"/>
        <c:grouping val="clustered"/>
        <c:varyColors val="0"/>
        <c:ser>
          <c:idx val="0"/>
          <c:order val="0"/>
          <c:tx>
            <c:strRef>
              <c:f>Painel!$H$13</c:f>
              <c:strCache>
                <c:ptCount val="1"/>
                <c:pt idx="0">
                  <c:v>Cobertura (dias)</c:v>
                </c:pt>
              </c:strCache>
            </c:strRef>
          </c:tx>
          <c:spPr>
            <a:solidFill>
              <a:srgbClr val="2F6EBA"/>
            </a:solidFill>
            <a:ln w="0">
              <a:noFill/>
            </a:ln>
          </c:spPr>
          <c:invertIfNegative val="0"/>
          <c:dLbls>
            <c:spPr>
              <a:noFill/>
              <a:ln>
                <a:noFill/>
              </a:ln>
              <a:effectLst/>
            </c:spPr>
            <c:txPr>
              <a:bodyPr wrap="none"/>
              <a:lstStyle/>
              <a:p>
                <a:pPr>
                  <a:defRPr sz="1000" b="0" strike="noStrike" spc="-1">
                    <a:latin typeface="Arial"/>
                  </a:defRPr>
                </a:pPr>
                <a:endParaRPr lang="pt-B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Painel!$A$14:$A$23</c:f>
              <c:strCache>
                <c:ptCount val="10"/>
                <c:pt idx="0">
                  <c:v>Princípio ativo Alfa</c:v>
                </c:pt>
                <c:pt idx="1">
                  <c:v>Princípio ativo Beta</c:v>
                </c:pt>
                <c:pt idx="2">
                  <c:v>Filme blister</c:v>
                </c:pt>
                <c:pt idx="3">
                  <c:v>Excipiente celulose</c:v>
                </c:pt>
                <c:pt idx="4">
                  <c:v>Cartonagem Alfa</c:v>
                </c:pt>
                <c:pt idx="5">
                  <c:v>Corante</c:v>
                </c:pt>
                <c:pt idx="6">
                  <c:v>Excipiente amido</c:v>
                </c:pt>
                <c:pt idx="7">
                  <c:v>Cartonagem Beta</c:v>
                </c:pt>
                <c:pt idx="8">
                  <c:v>Bula Alfa</c:v>
                </c:pt>
                <c:pt idx="9">
                  <c:v>Caixa de embarque</c:v>
                </c:pt>
              </c:strCache>
            </c:strRef>
          </c:cat>
          <c:val>
            <c:numRef>
              <c:f>Painel!$H$14:$H$23</c:f>
              <c:numCache>
                <c:formatCode>0.0</c:formatCode>
                <c:ptCount val="10"/>
                <c:pt idx="0">
                  <c:v>16</c:v>
                </c:pt>
                <c:pt idx="1">
                  <c:v>15</c:v>
                </c:pt>
                <c:pt idx="2">
                  <c:v>26.666666666666668</c:v>
                </c:pt>
                <c:pt idx="3">
                  <c:v>20</c:v>
                </c:pt>
                <c:pt idx="4">
                  <c:v>16</c:v>
                </c:pt>
                <c:pt idx="5">
                  <c:v>38</c:v>
                </c:pt>
                <c:pt idx="6">
                  <c:v>43.75</c:v>
                </c:pt>
                <c:pt idx="7">
                  <c:v>40</c:v>
                </c:pt>
                <c:pt idx="8">
                  <c:v>30</c:v>
                </c:pt>
                <c:pt idx="9">
                  <c:v>22.5</c:v>
                </c:pt>
              </c:numCache>
            </c:numRef>
          </c:val>
          <c:extLst>
            <c:ext xmlns:c16="http://schemas.microsoft.com/office/drawing/2014/chart" uri="{C3380CC4-5D6E-409C-BE32-E72D297353CC}">
              <c16:uniqueId val="{00000000-1082-449B-94AC-9F8666D831EE}"/>
            </c:ext>
          </c:extLst>
        </c:ser>
        <c:ser>
          <c:idx val="1"/>
          <c:order val="1"/>
          <c:tx>
            <c:strRef>
              <c:f>Painel!$F$13</c:f>
              <c:strCache>
                <c:ptCount val="1"/>
                <c:pt idx="0">
                  <c:v>Lead time (dias)</c:v>
                </c:pt>
              </c:strCache>
            </c:strRef>
          </c:tx>
          <c:spPr>
            <a:solidFill>
              <a:srgbClr val="E8913A"/>
            </a:solidFill>
            <a:ln w="0">
              <a:noFill/>
            </a:ln>
          </c:spPr>
          <c:invertIfNegative val="0"/>
          <c:dLbls>
            <c:spPr>
              <a:noFill/>
              <a:ln>
                <a:noFill/>
              </a:ln>
              <a:effectLst/>
            </c:spPr>
            <c:txPr>
              <a:bodyPr wrap="none"/>
              <a:lstStyle/>
              <a:p>
                <a:pPr>
                  <a:defRPr sz="1000" b="0" strike="noStrike" spc="-1">
                    <a:latin typeface="Arial"/>
                  </a:defRPr>
                </a:pPr>
                <a:endParaRPr lang="pt-B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Painel!$A$14:$A$23</c:f>
              <c:strCache>
                <c:ptCount val="10"/>
                <c:pt idx="0">
                  <c:v>Princípio ativo Alfa</c:v>
                </c:pt>
                <c:pt idx="1">
                  <c:v>Princípio ativo Beta</c:v>
                </c:pt>
                <c:pt idx="2">
                  <c:v>Filme blister</c:v>
                </c:pt>
                <c:pt idx="3">
                  <c:v>Excipiente celulose</c:v>
                </c:pt>
                <c:pt idx="4">
                  <c:v>Cartonagem Alfa</c:v>
                </c:pt>
                <c:pt idx="5">
                  <c:v>Corante</c:v>
                </c:pt>
                <c:pt idx="6">
                  <c:v>Excipiente amido</c:v>
                </c:pt>
                <c:pt idx="7">
                  <c:v>Cartonagem Beta</c:v>
                </c:pt>
                <c:pt idx="8">
                  <c:v>Bula Alfa</c:v>
                </c:pt>
                <c:pt idx="9">
                  <c:v>Caixa de embarque</c:v>
                </c:pt>
              </c:strCache>
            </c:strRef>
          </c:cat>
          <c:val>
            <c:numRef>
              <c:f>Painel!$F$14:$F$23</c:f>
              <c:numCache>
                <c:formatCode>General</c:formatCode>
                <c:ptCount val="10"/>
                <c:pt idx="0">
                  <c:v>30</c:v>
                </c:pt>
                <c:pt idx="1">
                  <c:v>20</c:v>
                </c:pt>
                <c:pt idx="2">
                  <c:v>25</c:v>
                </c:pt>
                <c:pt idx="3">
                  <c:v>15</c:v>
                </c:pt>
                <c:pt idx="4">
                  <c:v>15</c:v>
                </c:pt>
                <c:pt idx="5">
                  <c:v>30</c:v>
                </c:pt>
                <c:pt idx="6">
                  <c:v>10</c:v>
                </c:pt>
                <c:pt idx="7">
                  <c:v>15</c:v>
                </c:pt>
                <c:pt idx="8">
                  <c:v>20</c:v>
                </c:pt>
                <c:pt idx="9">
                  <c:v>10</c:v>
                </c:pt>
              </c:numCache>
            </c:numRef>
          </c:val>
          <c:extLst>
            <c:ext xmlns:c16="http://schemas.microsoft.com/office/drawing/2014/chart" uri="{C3380CC4-5D6E-409C-BE32-E72D297353CC}">
              <c16:uniqueId val="{00000001-1082-449B-94AC-9F8666D831EE}"/>
            </c:ext>
          </c:extLst>
        </c:ser>
        <c:dLbls>
          <c:showLegendKey val="0"/>
          <c:showVal val="0"/>
          <c:showCatName val="0"/>
          <c:showSerName val="0"/>
          <c:showPercent val="0"/>
          <c:showBubbleSize val="0"/>
        </c:dLbls>
        <c:gapWidth val="150"/>
        <c:axId val="81787185"/>
        <c:axId val="74862451"/>
      </c:barChart>
      <c:catAx>
        <c:axId val="817871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74862451"/>
        <c:crosses val="autoZero"/>
        <c:auto val="1"/>
        <c:lblAlgn val="ctr"/>
        <c:lblOffset val="100"/>
        <c:noMultiLvlLbl val="0"/>
      </c:catAx>
      <c:valAx>
        <c:axId val="7486245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pt-BR" sz="1000" b="1" strike="noStrike" spc="-1">
                    <a:solidFill>
                      <a:srgbClr val="000000"/>
                    </a:solidFill>
                    <a:latin typeface="Calibri"/>
                  </a:rPr>
                  <a:t>Dias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8178718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pt-BR"/>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xdr:row>
      <xdr:rowOff>130680</xdr:rowOff>
    </xdr:from>
    <xdr:to>
      <xdr:col>9</xdr:col>
      <xdr:colOff>196560</xdr:colOff>
      <xdr:row>49</xdr:row>
      <xdr:rowOff>121320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31</xdr:row>
      <xdr:rowOff>140205</xdr:rowOff>
    </xdr:from>
    <xdr:to>
      <xdr:col>9</xdr:col>
      <xdr:colOff>196560</xdr:colOff>
      <xdr:row>49</xdr:row>
      <xdr:rowOff>130845</xdr:rowOff>
    </xdr:to>
    <xdr:graphicFrame macro="">
      <xdr:nvGraphicFramePr>
        <xdr:cNvPr id="3" name="Chart 1">
          <a:extLst>
            <a:ext uri="{FF2B5EF4-FFF2-40B4-BE49-F238E27FC236}">
              <a16:creationId xmlns:a16="http://schemas.microsoft.com/office/drawing/2014/main" id="{3451B006-A9E5-66BB-9E1E-25F1AE2C4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1"/>
  <sheetViews>
    <sheetView showGridLines="0" tabSelected="1" zoomScale="80" zoomScaleNormal="80" workbookViewId="0">
      <selection activeCell="O7" sqref="O7"/>
    </sheetView>
  </sheetViews>
  <sheetFormatPr defaultColWidth="8.7109375" defaultRowHeight="15" x14ac:dyDescent="0.25"/>
  <cols>
    <col min="1" max="1" width="30" customWidth="1"/>
    <col min="2" max="2" width="16" customWidth="1"/>
    <col min="3" max="3" width="14" customWidth="1"/>
    <col min="4" max="4" width="8" customWidth="1"/>
    <col min="5" max="6" width="12" customWidth="1"/>
    <col min="7" max="7" width="14" customWidth="1"/>
    <col min="8" max="9" width="12" customWidth="1"/>
    <col min="10" max="10" width="14" customWidth="1"/>
    <col min="11" max="11" width="11" customWidth="1"/>
    <col min="12" max="12" width="18" customWidth="1"/>
  </cols>
  <sheetData>
    <row r="1" spans="1:12" ht="20.25" x14ac:dyDescent="0.3">
      <c r="A1" s="22" t="s">
        <v>0</v>
      </c>
      <c r="B1" s="22"/>
      <c r="C1" s="22"/>
      <c r="D1" s="22"/>
      <c r="E1" s="22"/>
      <c r="F1" s="22"/>
      <c r="G1" s="22"/>
      <c r="H1" s="22"/>
      <c r="I1" s="22"/>
      <c r="J1" s="22"/>
      <c r="K1" s="22"/>
      <c r="L1" s="22"/>
    </row>
    <row r="2" spans="1:12" x14ac:dyDescent="0.25">
      <c r="A2" s="2"/>
    </row>
    <row r="4" spans="1:12" ht="15.75" x14ac:dyDescent="0.25">
      <c r="A4" s="3" t="s">
        <v>1</v>
      </c>
    </row>
    <row r="5" spans="1:12" x14ac:dyDescent="0.25">
      <c r="A5" s="4" t="s">
        <v>2</v>
      </c>
      <c r="B5" s="5">
        <v>1.2</v>
      </c>
    </row>
    <row r="6" spans="1:12" x14ac:dyDescent="0.25">
      <c r="A6" s="4" t="s">
        <v>3</v>
      </c>
      <c r="B6" s="6">
        <v>30</v>
      </c>
    </row>
    <row r="8" spans="1:12" ht="15.75" x14ac:dyDescent="0.25">
      <c r="A8" s="3" t="s">
        <v>80</v>
      </c>
    </row>
    <row r="9" spans="1:12" x14ac:dyDescent="0.25">
      <c r="A9" s="4" t="s">
        <v>4</v>
      </c>
      <c r="B9" s="7">
        <f>COUNTIF($J$14:$J$23,A9)</f>
        <v>3</v>
      </c>
    </row>
    <row r="10" spans="1:12" x14ac:dyDescent="0.25">
      <c r="A10" s="4" t="s">
        <v>5</v>
      </c>
      <c r="B10" s="7">
        <f>COUNTIF($J$14:$J$23,A10)</f>
        <v>3</v>
      </c>
    </row>
    <row r="11" spans="1:12" x14ac:dyDescent="0.25">
      <c r="A11" s="4" t="s">
        <v>6</v>
      </c>
      <c r="B11" s="7">
        <f>COUNTIF($J$14:$J$23,A11)</f>
        <v>4</v>
      </c>
    </row>
    <row r="13" spans="1:12" ht="31.5" customHeight="1" x14ac:dyDescent="0.25">
      <c r="A13" s="8" t="s">
        <v>7</v>
      </c>
      <c r="B13" s="8" t="s">
        <v>8</v>
      </c>
      <c r="C13" s="8" t="s">
        <v>9</v>
      </c>
      <c r="D13" s="8" t="s">
        <v>10</v>
      </c>
      <c r="E13" s="8" t="s">
        <v>11</v>
      </c>
      <c r="F13" s="8" t="s">
        <v>12</v>
      </c>
      <c r="G13" s="8" t="s">
        <v>13</v>
      </c>
      <c r="H13" s="8" t="s">
        <v>14</v>
      </c>
      <c r="I13" s="8" t="s">
        <v>15</v>
      </c>
      <c r="J13" s="8" t="s">
        <v>16</v>
      </c>
      <c r="K13" s="8" t="s">
        <v>17</v>
      </c>
      <c r="L13" s="8" t="s">
        <v>18</v>
      </c>
    </row>
    <row r="14" spans="1:12" x14ac:dyDescent="0.25">
      <c r="A14" s="9" t="s">
        <v>19</v>
      </c>
      <c r="B14" s="9" t="s">
        <v>20</v>
      </c>
      <c r="C14" s="10">
        <v>80</v>
      </c>
      <c r="D14" s="11" t="s">
        <v>21</v>
      </c>
      <c r="E14" s="10">
        <v>5</v>
      </c>
      <c r="F14" s="11">
        <v>30</v>
      </c>
      <c r="G14" s="10">
        <v>10</v>
      </c>
      <c r="H14" s="12">
        <f t="shared" ref="H14:H23" si="0">IF(E14&gt;0,C14/E14,"")</f>
        <v>16</v>
      </c>
      <c r="I14" s="13">
        <f t="shared" ref="I14:I23" si="1">E14*F14+G14</f>
        <v>160</v>
      </c>
      <c r="J14" s="14" t="str">
        <f t="shared" ref="J14:J23" si="2">IF(C14&lt;I14,"Pedir agora",IF(C14&lt;I14*$B$5,"Atenção","OK"))</f>
        <v>Pedir agora</v>
      </c>
      <c r="K14" s="12">
        <f t="shared" ref="K14:K23" si="3">IF(H14="","",H14-F14)</f>
        <v>-14</v>
      </c>
      <c r="L14" s="13">
        <f t="shared" ref="L14:L23" si="4">IF(J14="Pedir agora",MAX(0,E14*(F14+$B$6)+G14-C14),0)</f>
        <v>230</v>
      </c>
    </row>
    <row r="15" spans="1:12" x14ac:dyDescent="0.25">
      <c r="A15" s="9" t="s">
        <v>22</v>
      </c>
      <c r="B15" s="9" t="s">
        <v>20</v>
      </c>
      <c r="C15" s="10">
        <v>45</v>
      </c>
      <c r="D15" s="11" t="s">
        <v>21</v>
      </c>
      <c r="E15" s="10">
        <v>3</v>
      </c>
      <c r="F15" s="11">
        <v>20</v>
      </c>
      <c r="G15" s="10">
        <v>6</v>
      </c>
      <c r="H15" s="12">
        <f t="shared" si="0"/>
        <v>15</v>
      </c>
      <c r="I15" s="13">
        <f t="shared" si="1"/>
        <v>66</v>
      </c>
      <c r="J15" s="14" t="str">
        <f t="shared" si="2"/>
        <v>Pedir agora</v>
      </c>
      <c r="K15" s="12">
        <f t="shared" si="3"/>
        <v>-5</v>
      </c>
      <c r="L15" s="13">
        <f t="shared" si="4"/>
        <v>111</v>
      </c>
    </row>
    <row r="16" spans="1:12" x14ac:dyDescent="0.25">
      <c r="A16" s="9" t="s">
        <v>23</v>
      </c>
      <c r="B16" s="9" t="s">
        <v>24</v>
      </c>
      <c r="C16" s="10">
        <v>160</v>
      </c>
      <c r="D16" s="11" t="s">
        <v>21</v>
      </c>
      <c r="E16" s="10">
        <v>6</v>
      </c>
      <c r="F16" s="11">
        <v>25</v>
      </c>
      <c r="G16" s="10">
        <v>12</v>
      </c>
      <c r="H16" s="12">
        <f t="shared" si="0"/>
        <v>26.666666666666668</v>
      </c>
      <c r="I16" s="13">
        <f t="shared" si="1"/>
        <v>162</v>
      </c>
      <c r="J16" s="14" t="str">
        <f t="shared" si="2"/>
        <v>Pedir agora</v>
      </c>
      <c r="K16" s="12">
        <f t="shared" si="3"/>
        <v>1.6666666666666679</v>
      </c>
      <c r="L16" s="13">
        <f t="shared" si="4"/>
        <v>182</v>
      </c>
    </row>
    <row r="17" spans="1:12" x14ac:dyDescent="0.25">
      <c r="A17" s="9" t="s">
        <v>25</v>
      </c>
      <c r="B17" s="9" t="s">
        <v>26</v>
      </c>
      <c r="C17" s="10">
        <v>200</v>
      </c>
      <c r="D17" s="11" t="s">
        <v>21</v>
      </c>
      <c r="E17" s="10">
        <v>10</v>
      </c>
      <c r="F17" s="11">
        <v>15</v>
      </c>
      <c r="G17" s="10">
        <v>20</v>
      </c>
      <c r="H17" s="12">
        <f t="shared" si="0"/>
        <v>20</v>
      </c>
      <c r="I17" s="13">
        <f t="shared" si="1"/>
        <v>170</v>
      </c>
      <c r="J17" s="14" t="str">
        <f t="shared" si="2"/>
        <v>Atenção</v>
      </c>
      <c r="K17" s="12">
        <f t="shared" si="3"/>
        <v>5</v>
      </c>
      <c r="L17" s="13">
        <f t="shared" si="4"/>
        <v>0</v>
      </c>
    </row>
    <row r="18" spans="1:12" x14ac:dyDescent="0.25">
      <c r="A18" s="9" t="s">
        <v>27</v>
      </c>
      <c r="B18" s="9" t="s">
        <v>24</v>
      </c>
      <c r="C18" s="10">
        <v>8000</v>
      </c>
      <c r="D18" s="11" t="s">
        <v>28</v>
      </c>
      <c r="E18" s="10">
        <v>500</v>
      </c>
      <c r="F18" s="11">
        <v>15</v>
      </c>
      <c r="G18" s="10">
        <v>500</v>
      </c>
      <c r="H18" s="12">
        <f t="shared" si="0"/>
        <v>16</v>
      </c>
      <c r="I18" s="13">
        <f t="shared" si="1"/>
        <v>8000</v>
      </c>
      <c r="J18" s="14" t="str">
        <f t="shared" si="2"/>
        <v>Atenção</v>
      </c>
      <c r="K18" s="12">
        <f t="shared" si="3"/>
        <v>1</v>
      </c>
      <c r="L18" s="13">
        <f t="shared" si="4"/>
        <v>0</v>
      </c>
    </row>
    <row r="19" spans="1:12" x14ac:dyDescent="0.25">
      <c r="A19" s="9" t="s">
        <v>29</v>
      </c>
      <c r="B19" s="9" t="s">
        <v>26</v>
      </c>
      <c r="C19" s="10">
        <v>38</v>
      </c>
      <c r="D19" s="11" t="s">
        <v>21</v>
      </c>
      <c r="E19" s="10">
        <v>1</v>
      </c>
      <c r="F19" s="11">
        <v>30</v>
      </c>
      <c r="G19" s="10">
        <v>3</v>
      </c>
      <c r="H19" s="12">
        <f t="shared" si="0"/>
        <v>38</v>
      </c>
      <c r="I19" s="13">
        <f t="shared" si="1"/>
        <v>33</v>
      </c>
      <c r="J19" s="14" t="str">
        <f t="shared" si="2"/>
        <v>Atenção</v>
      </c>
      <c r="K19" s="12">
        <f t="shared" si="3"/>
        <v>8</v>
      </c>
      <c r="L19" s="13">
        <f t="shared" si="4"/>
        <v>0</v>
      </c>
    </row>
    <row r="20" spans="1:12" x14ac:dyDescent="0.25">
      <c r="A20" s="9" t="s">
        <v>30</v>
      </c>
      <c r="B20" s="9" t="s">
        <v>26</v>
      </c>
      <c r="C20" s="10">
        <v>350</v>
      </c>
      <c r="D20" s="11" t="s">
        <v>21</v>
      </c>
      <c r="E20" s="10">
        <v>8</v>
      </c>
      <c r="F20" s="11">
        <v>10</v>
      </c>
      <c r="G20" s="10">
        <v>16</v>
      </c>
      <c r="H20" s="12">
        <f t="shared" si="0"/>
        <v>43.75</v>
      </c>
      <c r="I20" s="13">
        <f t="shared" si="1"/>
        <v>96</v>
      </c>
      <c r="J20" s="14" t="str">
        <f t="shared" si="2"/>
        <v>OK</v>
      </c>
      <c r="K20" s="12">
        <f t="shared" si="3"/>
        <v>33.75</v>
      </c>
      <c r="L20" s="13">
        <f t="shared" si="4"/>
        <v>0</v>
      </c>
    </row>
    <row r="21" spans="1:12" x14ac:dyDescent="0.25">
      <c r="A21" s="9" t="s">
        <v>31</v>
      </c>
      <c r="B21" s="9" t="s">
        <v>24</v>
      </c>
      <c r="C21" s="10">
        <v>12000</v>
      </c>
      <c r="D21" s="11" t="s">
        <v>28</v>
      </c>
      <c r="E21" s="10">
        <v>300</v>
      </c>
      <c r="F21" s="11">
        <v>15</v>
      </c>
      <c r="G21" s="10">
        <v>600</v>
      </c>
      <c r="H21" s="12">
        <f t="shared" si="0"/>
        <v>40</v>
      </c>
      <c r="I21" s="13">
        <f t="shared" si="1"/>
        <v>5100</v>
      </c>
      <c r="J21" s="14" t="str">
        <f t="shared" si="2"/>
        <v>OK</v>
      </c>
      <c r="K21" s="12">
        <f t="shared" si="3"/>
        <v>25</v>
      </c>
      <c r="L21" s="13">
        <f t="shared" si="4"/>
        <v>0</v>
      </c>
    </row>
    <row r="22" spans="1:12" x14ac:dyDescent="0.25">
      <c r="A22" s="9" t="s">
        <v>32</v>
      </c>
      <c r="B22" s="9" t="s">
        <v>24</v>
      </c>
      <c r="C22" s="10">
        <v>15000</v>
      </c>
      <c r="D22" s="11" t="s">
        <v>28</v>
      </c>
      <c r="E22" s="10">
        <v>500</v>
      </c>
      <c r="F22" s="11">
        <v>20</v>
      </c>
      <c r="G22" s="10">
        <v>1000</v>
      </c>
      <c r="H22" s="12">
        <f t="shared" si="0"/>
        <v>30</v>
      </c>
      <c r="I22" s="13">
        <f t="shared" si="1"/>
        <v>11000</v>
      </c>
      <c r="J22" s="14" t="str">
        <f t="shared" si="2"/>
        <v>OK</v>
      </c>
      <c r="K22" s="12">
        <f t="shared" si="3"/>
        <v>10</v>
      </c>
      <c r="L22" s="13">
        <f t="shared" si="4"/>
        <v>0</v>
      </c>
    </row>
    <row r="23" spans="1:12" x14ac:dyDescent="0.25">
      <c r="A23" s="9" t="s">
        <v>33</v>
      </c>
      <c r="B23" s="9" t="s">
        <v>24</v>
      </c>
      <c r="C23" s="10">
        <v>900</v>
      </c>
      <c r="D23" s="11" t="s">
        <v>28</v>
      </c>
      <c r="E23" s="10">
        <v>40</v>
      </c>
      <c r="F23" s="11">
        <v>10</v>
      </c>
      <c r="G23" s="10">
        <v>80</v>
      </c>
      <c r="H23" s="12">
        <f t="shared" si="0"/>
        <v>22.5</v>
      </c>
      <c r="I23" s="13">
        <f t="shared" si="1"/>
        <v>480</v>
      </c>
      <c r="J23" s="14" t="str">
        <f t="shared" si="2"/>
        <v>OK</v>
      </c>
      <c r="K23" s="12">
        <f t="shared" si="3"/>
        <v>12.5</v>
      </c>
      <c r="L23" s="13">
        <f t="shared" si="4"/>
        <v>0</v>
      </c>
    </row>
    <row r="25" spans="1:12" ht="15.75" x14ac:dyDescent="0.25">
      <c r="A25" s="3" t="s">
        <v>81</v>
      </c>
    </row>
    <row r="26" spans="1:12" x14ac:dyDescent="0.25">
      <c r="A26" s="4" t="s">
        <v>34</v>
      </c>
    </row>
    <row r="27" spans="1:12" x14ac:dyDescent="0.25">
      <c r="A27" s="4" t="s">
        <v>35</v>
      </c>
    </row>
    <row r="28" spans="1:12" x14ac:dyDescent="0.25">
      <c r="A28" s="4" t="s">
        <v>36</v>
      </c>
    </row>
    <row r="29" spans="1:12" x14ac:dyDescent="0.25">
      <c r="A29" s="4" t="s">
        <v>37</v>
      </c>
    </row>
    <row r="30" spans="1:12" x14ac:dyDescent="0.25">
      <c r="A30" s="4" t="s">
        <v>38</v>
      </c>
    </row>
    <row r="31" spans="1:12" x14ac:dyDescent="0.25">
      <c r="A31" s="4" t="s">
        <v>39</v>
      </c>
    </row>
  </sheetData>
  <mergeCells count="1">
    <mergeCell ref="A1:L1"/>
  </mergeCells>
  <conditionalFormatting sqref="J14:J23">
    <cfRule type="cellIs" dxfId="3" priority="2" operator="equal">
      <formula>"Pedir agora"</formula>
    </cfRule>
    <cfRule type="cellIs" dxfId="2" priority="3" operator="equal">
      <formula>"Atenção"</formula>
    </cfRule>
    <cfRule type="cellIs" dxfId="1" priority="4" operator="equal">
      <formula>"OK"</formula>
    </cfRule>
  </conditionalFormatting>
  <conditionalFormatting sqref="K14:K23">
    <cfRule type="expression" dxfId="0" priority="5">
      <formula>AND(ISNUMBER(K14),K14&lt;0)</formula>
    </cfRule>
  </conditionalFormatting>
  <pageMargins left="0.75" right="0.75" top="1" bottom="1"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C13"/>
  <sheetViews>
    <sheetView showGridLines="0" zoomScaleNormal="100" workbookViewId="0"/>
  </sheetViews>
  <sheetFormatPr defaultColWidth="8.7109375" defaultRowHeight="15" x14ac:dyDescent="0.25"/>
  <cols>
    <col min="1" max="1" width="3" customWidth="1"/>
    <col min="2" max="2" width="30" customWidth="1"/>
    <col min="3" max="3" width="90" customWidth="1"/>
  </cols>
  <sheetData>
    <row r="2" spans="2:3" ht="20.25" x14ac:dyDescent="0.3">
      <c r="B2" s="1" t="s">
        <v>40</v>
      </c>
    </row>
    <row r="3" spans="2:3" x14ac:dyDescent="0.25">
      <c r="B3" s="2" t="s">
        <v>41</v>
      </c>
    </row>
    <row r="5" spans="2:3" ht="21" customHeight="1" x14ac:dyDescent="0.25">
      <c r="B5" s="15" t="s">
        <v>42</v>
      </c>
      <c r="C5" s="16" t="s">
        <v>43</v>
      </c>
    </row>
    <row r="6" spans="2:3" ht="51" customHeight="1" x14ac:dyDescent="0.25">
      <c r="B6" s="15" t="s">
        <v>44</v>
      </c>
      <c r="C6" s="16" t="s">
        <v>45</v>
      </c>
    </row>
    <row r="7" spans="2:3" ht="51" customHeight="1" x14ac:dyDescent="0.25">
      <c r="B7" s="15" t="s">
        <v>46</v>
      </c>
      <c r="C7" s="16" t="s">
        <v>47</v>
      </c>
    </row>
    <row r="8" spans="2:3" ht="36" customHeight="1" x14ac:dyDescent="0.25">
      <c r="B8" s="15" t="s">
        <v>48</v>
      </c>
      <c r="C8" s="16" t="s">
        <v>49</v>
      </c>
    </row>
    <row r="9" spans="2:3" ht="36" customHeight="1" x14ac:dyDescent="0.25">
      <c r="B9" s="15" t="s">
        <v>50</v>
      </c>
      <c r="C9" s="16" t="s">
        <v>51</v>
      </c>
    </row>
    <row r="10" spans="2:3" ht="36" customHeight="1" x14ac:dyDescent="0.25">
      <c r="B10" s="15" t="s">
        <v>52</v>
      </c>
      <c r="C10" s="16" t="s">
        <v>53</v>
      </c>
    </row>
    <row r="11" spans="2:3" ht="21" customHeight="1" x14ac:dyDescent="0.25">
      <c r="B11" s="15" t="s">
        <v>54</v>
      </c>
      <c r="C11" s="16" t="s">
        <v>55</v>
      </c>
    </row>
    <row r="12" spans="2:3" ht="51" customHeight="1" x14ac:dyDescent="0.25">
      <c r="B12" s="15" t="s">
        <v>56</v>
      </c>
      <c r="C12" s="16" t="s">
        <v>57</v>
      </c>
    </row>
    <row r="13" spans="2:3" ht="36" customHeight="1" x14ac:dyDescent="0.25">
      <c r="B13" s="15" t="s">
        <v>58</v>
      </c>
      <c r="C13" s="16" t="s">
        <v>59</v>
      </c>
    </row>
  </sheetData>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E17"/>
  <sheetViews>
    <sheetView showGridLines="0" topLeftCell="A6" zoomScaleNormal="100" workbookViewId="0">
      <selection activeCell="C19" sqref="C19"/>
    </sheetView>
  </sheetViews>
  <sheetFormatPr defaultColWidth="8.7109375" defaultRowHeight="15" x14ac:dyDescent="0.25"/>
  <cols>
    <col min="1" max="1" width="3" customWidth="1"/>
    <col min="2" max="2" width="24" customWidth="1"/>
    <col min="3" max="3" width="34" customWidth="1"/>
    <col min="4" max="4" width="14" customWidth="1"/>
    <col min="5" max="5" width="70" customWidth="1"/>
  </cols>
  <sheetData>
    <row r="2" spans="2:5" ht="20.25" x14ac:dyDescent="0.3">
      <c r="B2" s="1" t="s">
        <v>60</v>
      </c>
    </row>
    <row r="3" spans="2:5" x14ac:dyDescent="0.25">
      <c r="B3" s="2" t="s">
        <v>61</v>
      </c>
    </row>
    <row r="5" spans="2:5" x14ac:dyDescent="0.25">
      <c r="B5" s="8" t="s">
        <v>62</v>
      </c>
      <c r="C5" s="8" t="s">
        <v>63</v>
      </c>
      <c r="D5" s="8" t="s">
        <v>64</v>
      </c>
      <c r="E5" s="8" t="s">
        <v>65</v>
      </c>
    </row>
    <row r="6" spans="2:5" ht="43.5" customHeight="1" x14ac:dyDescent="0.25">
      <c r="B6" s="17" t="s">
        <v>66</v>
      </c>
      <c r="C6" s="18" t="str">
        <f>Painel!C14&amp;" ÷ "&amp;Painel!E14</f>
        <v>80 ÷ 5</v>
      </c>
      <c r="D6" s="19">
        <f>Painel!H14</f>
        <v>16</v>
      </c>
      <c r="E6" s="18" t="s">
        <v>67</v>
      </c>
    </row>
    <row r="7" spans="2:5" ht="43.5" customHeight="1" x14ac:dyDescent="0.25">
      <c r="B7" s="17" t="s">
        <v>68</v>
      </c>
      <c r="C7" s="18" t="str">
        <f>Painel!E14&amp;" × "&amp;Painel!F14&amp;" + "&amp;Painel!G14</f>
        <v>5 × 30 + 10</v>
      </c>
      <c r="D7" s="20">
        <f>Painel!I14</f>
        <v>160</v>
      </c>
      <c r="E7" s="18" t="s">
        <v>69</v>
      </c>
    </row>
    <row r="8" spans="2:5" ht="43.5" customHeight="1" x14ac:dyDescent="0.25">
      <c r="B8" s="17" t="s">
        <v>70</v>
      </c>
      <c r="C8" s="18" t="str">
        <f>Painel!C14&amp;IF(Painel!C14&lt;Painel!I14," &lt; "," ≥ ")&amp;Painel!I14</f>
        <v>80 &lt; 160</v>
      </c>
      <c r="D8" s="21" t="str">
        <f>Painel!J14</f>
        <v>Pedir agora</v>
      </c>
      <c r="E8" s="18" t="s">
        <v>71</v>
      </c>
    </row>
    <row r="9" spans="2:5" ht="43.5" customHeight="1" x14ac:dyDescent="0.25">
      <c r="B9" s="17" t="s">
        <v>72</v>
      </c>
      <c r="C9" s="18" t="str">
        <f>TEXT(Painel!H14,"0.0")&amp;" − "&amp;Painel!F14</f>
        <v>16 − 30</v>
      </c>
      <c r="D9" s="19">
        <f>Painel!K14</f>
        <v>-14</v>
      </c>
      <c r="E9" s="18" t="s">
        <v>73</v>
      </c>
    </row>
    <row r="10" spans="2:5" ht="43.5" customHeight="1" x14ac:dyDescent="0.25">
      <c r="B10" s="17" t="s">
        <v>74</v>
      </c>
      <c r="C10" s="18" t="str">
        <f>Painel!E14&amp;" × ("&amp;Painel!F14&amp;" + "&amp;Painel!B6&amp;") + "&amp;Painel!G14&amp;" − "&amp;Painel!C14</f>
        <v>5 × (30 + 30) + 10 − 80</v>
      </c>
      <c r="D10" s="20">
        <f>Painel!L14</f>
        <v>230</v>
      </c>
      <c r="E10" s="18" t="s">
        <v>75</v>
      </c>
    </row>
    <row r="13" spans="2:5" ht="15.75" x14ac:dyDescent="0.25">
      <c r="B13" s="3" t="s">
        <v>82</v>
      </c>
    </row>
    <row r="14" spans="2:5" x14ac:dyDescent="0.25">
      <c r="B14" s="4" t="s">
        <v>76</v>
      </c>
    </row>
    <row r="15" spans="2:5" x14ac:dyDescent="0.25">
      <c r="B15" s="4" t="s">
        <v>77</v>
      </c>
    </row>
    <row r="16" spans="2:5" x14ac:dyDescent="0.25">
      <c r="B16" s="4" t="s">
        <v>78</v>
      </c>
    </row>
    <row r="17" spans="2:2" x14ac:dyDescent="0.25">
      <c r="B17" s="4" t="s">
        <v>79</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3</vt:i4>
      </vt:variant>
    </vt:vector>
  </HeadingPairs>
  <TitlesOfParts>
    <vt:vector size="3" baseType="lpstr">
      <vt:lpstr>Painel</vt:lpstr>
      <vt:lpstr>Leia-me</vt:lpstr>
      <vt:lpstr>Passo a passo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juracy santos</cp:lastModifiedBy>
  <cp:revision>1</cp:revision>
  <dcterms:created xsi:type="dcterms:W3CDTF">2026-10-27T18:28:08Z</dcterms:created>
  <dcterms:modified xsi:type="dcterms:W3CDTF">2026-10-28T13:51:07Z</dcterms:modified>
  <dc:language>en-US</dc:language>
</cp:coreProperties>
</file>